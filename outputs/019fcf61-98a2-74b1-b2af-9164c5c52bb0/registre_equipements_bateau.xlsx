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8affef977b46d1" /></Relationships>
</file>

<file path=xl/workbook.xml><?xml version="1.0" encoding="utf-8"?>
<x:workbook xmlns:x="http://schemas.openxmlformats.org/spreadsheetml/2006/main">
  <x:sheets>
    <x:sheet xmlns:r="http://schemas.openxmlformats.org/officeDocument/2006/relationships" name="Synthèse" sheetId="1" r:id="Rc935b3f6a43d4841"/>
    <x:sheet xmlns:r="http://schemas.openxmlformats.org/officeDocument/2006/relationships" name="Équipements" sheetId="2" r:id="R77f36b010c824827"/>
    <x:sheet xmlns:r="http://schemas.openxmlformats.org/officeDocument/2006/relationships" name="Observations" sheetId="3" r:id="Rfa70f941a9864273"/>
    <x:sheet xmlns:r="http://schemas.openxmlformats.org/officeDocument/2006/relationships" name="Référentiel" sheetId="4" r:id="R616cdecb232441da"/>
    <x:sheet xmlns:r="http://schemas.openxmlformats.org/officeDocument/2006/relationships" name="Sources" sheetId="5" r:id="R756368d2ee534ca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6"/>
      <x:color rgb="FFFFFFFF"/>
      <x:name val="Carlito"/>
    </x:font>
    <x:font>
      <x:i/>
      <x:sz val="10"/>
      <x:color rgb="FF1F2933"/>
      <x:name val="Carlito"/>
    </x:font>
    <x:font>
      <x:b/>
      <x:sz val="11"/>
      <x:color rgb="FF17365D"/>
      <x:name val="Carlito"/>
    </x:font>
    <x:font>
      <x:b/>
      <x:sz val="14"/>
      <x:color rgb="FF17365D"/>
      <x:name val="Carlito"/>
    </x:font>
    <x:font>
      <x:b/>
      <x:sz val="11"/>
      <x:color rgb="FFFFFFFF"/>
      <x:name val="Carlito"/>
    </x:font>
    <x:font>
      <x:i/>
      <x:sz val="11"/>
      <x:color rgb="FF1F2933"/>
      <x:name val="Carlito"/>
    </x:font>
  </x:fonts>
  <x:fills count="10">
    <x:fill>
      <x:patternFill patternType="none"/>
    </x:fill>
    <x:fill>
      <x:patternFill patternType="gray125"/>
    </x:fill>
    <x:fill>
      <x:patternFill patternType="solid">
        <x:fgColor rgb="FF17365D"/>
      </x:patternFill>
    </x:fill>
    <x:fill>
      <x:patternFill patternType="solid">
        <x:fgColor rgb="FFEAF3F8"/>
      </x:patternFill>
    </x:fill>
    <x:fill>
      <x:patternFill patternType="solid">
        <x:fgColor rgb="FFD9EAF7"/>
      </x:patternFill>
    </x:fill>
    <x:fill>
      <x:patternFill patternType="solid">
        <x:fgColor rgb="FFFFFFFF"/>
      </x:patternFill>
    </x:fill>
    <x:fill>
      <x:patternFill patternType="solid">
        <x:fgColor rgb="FF1F6D7A"/>
      </x:patternFill>
    </x:fill>
    <x:fill>
      <x:patternFill patternType="solid">
        <x:fgColor rgb="FFF4CCCC"/>
      </x:patternFill>
    </x:fill>
    <x:fill>
      <x:patternFill patternType="solid">
        <x:fgColor rgb="FFFCE4D6"/>
      </x:patternFill>
    </x:fill>
    <x:fill>
      <x:patternFill patternType="solid">
        <x:fgColor rgb="FFF3F6F8"/>
      </x:patternFill>
    </x:fill>
  </x:fills>
  <x:borders count="13">
    <x:border/>
    <x:border>
      <x:left style="thin">
        <x:color rgb="FFB7C9D6"/>
      </x:left>
      <x:top style="thin">
        <x:color rgb="FFB7C9D6"/>
      </x:top>
      <x:bottom style="thin">
        <x:color rgb="FFB7C9D6"/>
      </x:bottom>
    </x:border>
    <x:border>
      <x:top style="thin">
        <x:color rgb="FFB7C9D6"/>
      </x:top>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000000"/>
      </x:left>
      <x:right style="thin">
        <x:color rgb="FF000000"/>
      </x:right>
      <x:top style="thin">
        <x:color rgb="FF000000"/>
      </x:top>
      <x:bottom style="thin">
        <x:color rgb="FF000000"/>
      </x:bottom>
    </x:border>
  </x:borders>
  <x:cellStyleXfs count="1">
    <x:xf numFmtId="0" fontId="0" fillId="0" borderId="0"/>
  </x:cellStyleXfs>
  <x:cellXfs count="10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1" xfId="0" applyNumberFormat="1" applyFont="1" applyFill="1" applyBorder="1" applyAlignment="1">
      <x:alignment wrapText="1"/>
    </x:xf>
    <x:xf numFmtId="0" fontId="5" fillId="6" borderId="2"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2" xfId="0" applyNumberFormat="1" applyFont="1" applyFill="1" applyBorder="1" applyAlignment="1">
      <x:alignment horizontal="center" wrapText="1"/>
    </x:xf>
    <x:xf numFmtId="0" fontId="5" fillId="6" borderId="3"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5" fillId="6" borderId="2" xfId="0" applyNumberFormat="1" applyFont="1" applyFill="1" applyBorder="1" applyAlignment="1">
      <x:alignment horizontal="center" vertical="center" wrapText="1"/>
    </x:xf>
    <x:xf numFmtId="0" fontId="5" fillId="6"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horizontal="left"/>
    </x:xf>
    <x:xf numFmtId="0" fontId="0" fillId="7" borderId="4" xfId="0" applyNumberFormat="1" applyFont="1" applyFill="1" applyBorder="1" applyAlignment="1">
      <x:alignment vertical="center" wrapText="1"/>
    </x:xf>
    <x:xf numFmtId="0" fontId="0" fillId="7" borderId="5" xfId="0" applyNumberFormat="1" applyFont="1" applyFill="1" applyBorder="1" applyAlignment="1">
      <x:alignment vertical="center" wrapText="1"/>
    </x:xf>
    <x:xf numFmtId="0" fontId="0" fillId="7" borderId="6" xfId="0" applyNumberFormat="1" applyFont="1" applyFill="1" applyBorder="1" applyAlignment="1">
      <x:alignment vertical="center" wrapText="1"/>
    </x:xf>
    <x:xf numFmtId="0" fontId="0" fillId="8" borderId="7"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0" fillId="8" borderId="8" xfId="0" applyNumberFormat="1" applyFont="1" applyFill="1" applyBorder="1" applyAlignment="1">
      <x:alignment vertical="center" wrapText="1"/>
    </x:xf>
    <x:xf numFmtId="0" fontId="0" fillId="8" borderId="9" xfId="0" applyNumberFormat="1" applyFont="1" applyFill="1" applyBorder="1" applyAlignment="1">
      <x:alignment vertical="center" wrapText="1"/>
    </x:xf>
    <x:xf numFmtId="0" fontId="0" fillId="8" borderId="10" xfId="0" applyNumberFormat="1" applyFont="1" applyFill="1" applyBorder="1" applyAlignment="1">
      <x:alignment vertical="center" wrapText="1"/>
    </x:xf>
    <x:xf numFmtId="0" fontId="0" fillId="8" borderId="11" xfId="0" applyNumberFormat="1" applyFont="1" applyFill="1" applyBorder="1" applyAlignment="1">
      <x:alignment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vertical="center" wrapText="1"/>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8" xfId="0" applyNumberFormat="1" applyFont="1" applyFill="1" applyBorder="1" applyAlignment="1">
      <x:alignment vertical="center"/>
    </x:xf>
    <x:xf numFmtId="0" fontId="0" fillId="0" borderId="9" xfId="0" applyNumberFormat="1" applyFont="1" applyFill="1" applyBorder="1" applyAlignment="1">
      <x:alignment vertical="center"/>
    </x:xf>
    <x:xf numFmtId="0" fontId="0" fillId="0" borderId="10" xfId="0" applyNumberFormat="1" applyFont="1" applyFill="1" applyBorder="1" applyAlignment="1">
      <x:alignment vertical="center"/>
    </x:xf>
    <x:xf numFmtId="0" fontId="0" fillId="0" borderId="11" xfId="0" applyNumberFormat="1" applyFont="1" applyFill="1" applyBorder="1" applyAlignment="1">
      <x:alignment vertical="center"/>
    </x:xf>
    <x:xf numFmtId="0" fontId="5" fillId="6" borderId="12" xfId="0" applyNumberFormat="1" applyFont="1" applyFill="1" applyBorder="1" applyAlignment="1">
      <x:alignment horizontal="center" vertical="center" wrapText="1"/>
    </x:xf>
    <x:xf numFmtId="0" fontId="0" fillId="0" borderId="12" xfId="0" applyNumberFormat="1" applyFont="1" applyFill="1" applyBorder="1" applyAlignment="1">
      <x:alignment vertical="center"/>
    </x:xf>
    <x:xf numFmtId="200" fontId="0" fillId="0" borderId="12" xfId="0" applyNumberFormat="1" applyFont="1" applyFill="1" applyBorder="1" applyAlignment="1">
      <x:alignment vertical="center"/>
    </x:xf>
    <x:xf numFmtId="0" fontId="0" fillId="0" borderId="12" xfId="0" applyNumberFormat="1" applyFont="1" applyFill="1" applyBorder="1" applyAlignment="1">
      <x:alignment vertical="center"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cellXfs>
  <x:cellStyles count="1">
    <x:cellStyle name="Normal" xfId="0"/>
  </x:cellStyles>
  <x:dxfs count="8">
    <x:dxf>
      <x:fill>
        <x:patternFill patternType="solid">
          <x:bgColor rgb="FFD9EAD3"/>
        </x:patternFill>
      </x:fill>
    </x:dxf>
    <x:dxf>
      <x:fill>
        <x:patternFill patternType="solid">
          <x:bgColor rgb="FFFCE4D6"/>
        </x:patternFill>
      </x:fill>
    </x:dxf>
    <x:dxf>
      <x:fill>
        <x:patternFill patternType="solid">
          <x:bgColor rgb="FFF4CCCC"/>
        </x:patternFill>
      </x:fill>
    </x:dxf>
    <x:dxf>
      <x:fill>
        <x:patternFill patternType="solid">
          <x:bgColor rgb="FFD9EAD3"/>
        </x:patternFill>
      </x:fill>
    </x:dxf>
    <x:dxf>
      <x:fill>
        <x:patternFill patternType="solid">
          <x:bgColor rgb="FFFCE4D6"/>
        </x:patternFill>
      </x:fill>
    </x:dxf>
    <x:dxf>
      <x:font>
        <x:b/>
      </x:font>
      <x:fill>
        <x:patternFill patternType="solid">
          <x:bgColor rgb="FFF4CCCC"/>
        </x:patternFill>
      </x:fill>
    </x:dxf>
    <x:dxf>
      <x:fill>
        <x:patternFill patternType="solid">
          <x:bgColor rgb="FFF4CCCC"/>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8f928989bc4b6f" /><Relationship Type="http://schemas.openxmlformats.org/officeDocument/2006/relationships/theme" Target="/xl/theme/theme1.xml" Id="R3c86db98698f4717" /><Relationship Type="http://schemas.openxmlformats.org/officeDocument/2006/relationships/sharedStrings" Target="/xl/sharedStrings.xml" Id="R56bfcb70aeeb466f" /><Relationship Type="http://schemas.openxmlformats.org/officeDocument/2006/relationships/worksheet" Target="/xl/worksheets/sheet1.xml" Id="Rc935b3f6a43d4841" /><Relationship Type="http://schemas.openxmlformats.org/officeDocument/2006/relationships/worksheet" Target="/xl/worksheets/sheet2.xml" Id="R77f36b010c824827" /><Relationship Type="http://schemas.openxmlformats.org/officeDocument/2006/relationships/worksheet" Target="/xl/worksheets/sheet3.xml" Id="Rfa70f941a9864273" /><Relationship Type="http://schemas.openxmlformats.org/officeDocument/2006/relationships/worksheet" Target="/xl/worksheets/sheet4.xml" Id="R616cdecb232441da" /><Relationship Type="http://schemas.openxmlformats.org/officeDocument/2006/relationships/worksheet" Target="/xl/worksheets/sheet5.xml" Id="R756368d2ee534ca3" /></Relationships>
</file>

<file path=xl/tables/table1.xml><?xml version="1.0" encoding="utf-8"?>
<x:table xmlns:x="http://schemas.openxmlformats.org/spreadsheetml/2006/main" id="1" name="EquipementsTable" displayName="EquipementsTable" ref="A4:N12" headerRowCount="1" totalsRowCount="0" totalsRowShown="0">
  <x:autoFilter ref="A4:N12"/>
  <x:tableColumns count="14">
    <x:tableColumn id="1" name="ID"/>
    <x:tableColumn id="2" name="Catégorie"/>
    <x:tableColumn id="3" name="Système"/>
    <x:tableColumn id="4" name="Type"/>
    <x:tableColumn id="5" name="DN (mm)"/>
    <x:tableColumn id="6" name="PN (bar)"/>
    <x:tableColumn id="7" name="Matériau"/>
    <x:tableColumn id="8" name="Position"/>
    <x:tableColumn id="9" name="État (source)"/>
    <x:tableColumn id="10" name="Action recommandée"/>
    <x:tableColumn id="11" name="Observations globales"/>
    <x:tableColumn id="12" name="Sections source"/>
    <x:tableColumn id="13" name="Page source"/>
    <x:tableColumn id="14" name="Fichier source"/>
  </x:tableColumns>
  <x:tableStyleInfo name="TableStyleMedium2" showFirstColumn="0" showLastColumn="0" showRowStripes="1" showColumnStripes="0"/>
</x:table>
</file>

<file path=xl/tables/table2.xml><?xml version="1.0" encoding="utf-8"?>
<x:table xmlns:x="http://schemas.openxmlformats.org/spreadsheetml/2006/main" id="2" name="ObservationsTable" displayName="ObservationsTable" ref="A4:E9" headerRowCount="1" totalsRowCount="0" totalsRowShown="0">
  <x:autoFilter ref="A4:E9"/>
  <x:tableColumns count="5">
    <x:tableColumn id="1" name="Section"/>
    <x:tableColumn id="2" name="Portée"/>
    <x:tableColumn id="3" name="Texte centralisé"/>
    <x:tableColumn id="4" name="Pages"/>
    <x:tableColumn id="5" name="Fichier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dd112185322414b" /></Relationships>
</file>

<file path=xl/worksheets/_rels/sheet3.xml.rels>&#65279;<?xml version="1.0" encoding="utf-8"?><Relationships xmlns="http://schemas.openxmlformats.org/package/2006/relationships"><Relationship Type="http://schemas.openxmlformats.org/officeDocument/2006/relationships/table" Target="/xl/tables/table2.xml" Id="R306b150519d8434b"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3" hidden="0" customWidth="1"/>
    <x:col min="3" max="3" width="18" hidden="0" customWidth="1"/>
    <x:col min="4" max="4" width="13" hidden="0" customWidth="1"/>
    <x:col min="5" max="5" width="22" hidden="0" customWidth="1"/>
    <x:col min="6" max="6" width="12" hidden="0" customWidth="1"/>
    <x:col min="7" max="7" width="22" hidden="0" customWidth="1"/>
    <x:col min="8" max="8" width="12" hidden="0" customWidth="1"/>
    <x:col min="9" max="9" width="15" hidden="0" customWidth="1"/>
    <x:col min="10" max="10" width="12" hidden="0" customWidth="1"/>
    <x:col min="11" max="11" width="18" hidden="0" customWidth="1"/>
  </x:cols>
  <x:sheetData>
    <x:row r="1" ht="30" customHeight="1">
      <x:c r="A1" s="4" t="str">
        <x:v>Registre centralisé - équipements du bateau</x:v>
      </x:c>
      <x:c r="B1" s="4"/>
      <x:c r="C1" s="4"/>
      <x:c r="D1" s="4"/>
      <x:c r="E1" s="4"/>
      <x:c r="F1" s="4"/>
      <x:c r="G1" s="4"/>
      <x:c r="H1" s="4"/>
      <x:c r="I1" s="4"/>
      <x:c r="J1" s="4"/>
      <x:c r="K1" s="4"/>
    </x:row>
    <x:row r="2" ht="28" customHeight="1">
      <x:c r="A2" s="8" t="str">
        <x:v>Document source: Test_Valves_Bateau.pdf (local PDF, 3 pages). Données fictives selon le document. La structure accepte de futurs instruments ou matériels, même si le PDF ne contient ici que des vannes.</x:v>
      </x:c>
      <x:c r="B2" s="8"/>
      <x:c r="C2" s="8"/>
      <x:c r="D2" s="8"/>
      <x:c r="E2" s="8"/>
      <x:c r="F2" s="8"/>
      <x:c r="G2" s="8"/>
      <x:c r="H2" s="8"/>
      <x:c r="I2" s="8"/>
      <x:c r="J2" s="8"/>
      <x:c r="K2" s="8"/>
    </x:row>
    <x:row r="4">
      <x:c r="A4" s="12" t="str">
        <x:v>Total équipements</x:v>
      </x:c>
      <x:c r="B4" s="12"/>
      <x:c r="C4" s="12" t="str">
        <x:v>Vannes</x:v>
      </x:c>
      <x:c r="D4" s="12"/>
      <x:c r="E4" s="12" t="str">
        <x:v>À remplacer</x:v>
      </x:c>
      <x:c r="F4" s="12"/>
      <x:c r="G4" s="12" t="str">
        <x:v>Inspection</x:v>
      </x:c>
      <x:c r="H4" s="12"/>
      <x:c r="I4" s="12" t="str">
        <x:v>DN max (mm)</x:v>
      </x:c>
      <x:c r="J4" s="12"/>
      <x:c r="K4" s="12" t="str">
        <x:v>PN max (bar)</x:v>
      </x:c>
      <x:c r="L4" s="12"/>
    </x:row>
    <x:row r="5" ht="30" customHeight="1">
      <x:c r="A5" s="21" t="n">
        <x:f>COUNTA('Équipements'!$A$5:$A$12)</x:f>
        <x:v>8</x:v>
      </x:c>
      <x:c r="B5" s="22"/>
      <x:c r="C5" s="22" t="n">
        <x:f>COUNTIF('Équipements'!$B$5:$B$12,"Valve")</x:f>
        <x:v>8</x:v>
      </x:c>
      <x:c r="D5" s="22"/>
      <x:c r="E5" s="22" t="n">
        <x:f>COUNTIF('Équipements'!$I$5:$I$12,"À remplacer")</x:f>
        <x:v>1</x:v>
      </x:c>
      <x:c r="F5" s="22"/>
      <x:c r="G5" s="22" t="n">
        <x:f>COUNTIF('Équipements'!$I$5:$I$12,"Inspection")</x:f>
        <x:v>2</x:v>
      </x:c>
      <x:c r="H5" s="22"/>
      <x:c r="I5" s="22" t="n">
        <x:f>MAX('Équipements'!$E$5:$E$12)</x:f>
        <x:v>200</x:v>
      </x:c>
      <x:c r="J5" s="22"/>
      <x:c r="K5" s="22" t="n">
        <x:f>MAX('Équipements'!$F$5:$F$12)</x:f>
        <x:v>250</x:v>
      </x:c>
      <x:c r="L5" s="23"/>
    </x:row>
    <x:row r="8" ht="28" customHeight="1">
      <x:c r="A8" s="35" t="str">
        <x:v>État source</x:v>
      </x:c>
      <x:c r="B8" s="36" t="str">
        <x:v>Nombre</x:v>
      </x:c>
      <x:c r="C8" s="37" t="str">
        <x:v>Lecture opérationnelle</x:v>
      </x:c>
      <x:c r="E8" s="35" t="str">
        <x:v>Indicateur</x:v>
      </x:c>
      <x:c r="F8" s="36" t="str">
        <x:v>Valeur</x:v>
      </x:c>
      <x:c r="G8" s="37" t="str">
        <x:v>Source / note</x:v>
      </x:c>
    </x:row>
    <x:row r="9">
      <x:c r="A9" s="56" t="str">
        <x:v>OK</x:v>
      </x:c>
      <x:c r="B9" s="57" t="n">
        <x:f>COUNTIF('Équipements'!$I$5:$I$12,A9)</x:f>
        <x:v>5</x:v>
      </x:c>
      <x:c r="C9" s="58" t="str">
        <x:v>Aucune action immédiate</x:v>
      </x:c>
      <x:c r="E9" s="56" t="str">
        <x:v>Systèmes couverts</x:v>
      </x:c>
      <x:c r="F9" s="57" t="n">
        <x:f>COUNTA('Référentiel'!$B$5:$B$12)</x:f>
        <x:v>8</x:v>
      </x:c>
      <x:c r="G9" s="58" t="str">
        <x:v>Un système par vanne dans le tableau source</x:v>
      </x:c>
    </x:row>
    <x:row r="10">
      <x:c r="A10" s="59" t="str">
        <x:v>Inspection</x:v>
      </x:c>
      <x:c r="B10" s="60" t="n">
        <x:f>COUNTIF('Équipements'!$I$5:$I$12,A10)</x:f>
        <x:v>2</x:v>
      </x:c>
      <x:c r="C10" s="61" t="str">
        <x:v>Programmer inspection</x:v>
      </x:c>
      <x:c r="E10" s="59" t="str">
        <x:v>Matériaux distincts</x:v>
      </x:c>
      <x:c r="F10" s="60" t="n">
        <x:f>COUNTA('Référentiel'!$B$16:$B$23)</x:f>
        <x:v>8</x:v>
      </x:c>
      <x:c r="G10" s="61" t="str">
        <x:v>Dénomination conservée telle qu'extraite</x:v>
      </x:c>
    </x:row>
    <x:row r="11">
      <x:c r="A11" s="62" t="str">
        <x:v>À remplacer</x:v>
      </x:c>
      <x:c r="B11" s="63" t="n">
        <x:f>COUNTIF('Équipements'!$I$5:$I$12,A11)</x:f>
        <x:v>1</x:v>
      </x:c>
      <x:c r="C11" s="64" t="str">
        <x:v>Planifier le remplacement</x:v>
      </x:c>
      <x:c r="E11" s="59" t="str">
        <x:v>Observations détaillées</x:v>
      </x:c>
      <x:c r="F11" s="60" t="n">
        <x:f>COUNTA('Observations'!$A$5:$A$9)</x:f>
        <x:v>5</x:v>
      </x:c>
      <x:c r="G11" s="61" t="str">
        <x:v>Sections 1 à 5, portée générale</x:v>
      </x:c>
    </x:row>
    <x:row r="12">
      <x:c r="E12" s="62" t="str">
        <x:v>Pages du PDF</x:v>
      </x:c>
      <x:c r="F12" s="63" t="n">
        <x:v>3</x:v>
      </x:c>
      <x:c r="G12" s="64" t="str">
        <x:v>Métadonnée du document source</x:v>
      </x:c>
    </x:row>
    <x:row r="15">
      <x:c r="A15" s="66" t="str">
        <x:v>Priorités à suivre</x:v>
      </x:c>
      <x:c r="B15" s="66"/>
      <x:c r="C15" s="66"/>
      <x:c r="D15" s="66"/>
      <x:c r="E15" s="66"/>
      <x:c r="F15" s="66"/>
      <x:c r="G15" s="66"/>
      <x:c r="H15" s="66"/>
      <x:c r="I15" s="66"/>
      <x:c r="J15" s="66"/>
      <x:c r="K15" s="66"/>
    </x:row>
    <x:row r="16" ht="30" customHeight="1">
      <x:c r="A16" s="67" t="str">
        <x:v>VLV-004</x:v>
      </x:c>
      <x:c r="B16" s="68" t="str">
        <x:v>Carburant</x:v>
      </x:c>
      <x:c r="C16" s="68" t="str">
        <x:v>À remplacer</x:v>
      </x:c>
      <x:c r="D16" s="68" t="str">
        <x:v>Réservoir tribord</x:v>
      </x:c>
      <x:c r="E16" s="69" t="str">
        <x:v>Action prioritaire: planifier le remplacement.</x:v>
      </x:c>
      <x:c r="F16"/>
      <x:c r="G16"/>
      <x:c r="H16"/>
      <x:c r="I16"/>
      <x:c r="J16"/>
      <x:c r="K16"/>
    </x:row>
    <x:row r="17" ht="30" customHeight="1">
      <x:c r="A17" s="70" t="str">
        <x:v>VLV-002</x:v>
      </x:c>
      <x:c r="B17" s="71" t="str">
        <x:v>Refroidissement</x:v>
      </x:c>
      <x:c r="C17" s="71" t="str">
        <x:v>Inspection</x:v>
      </x:c>
      <x:c r="D17" s="71" t="str">
        <x:v>Salle des machines</x:v>
      </x:c>
      <x:c r="E17" s="72" t="str">
        <x:v>Programmer une inspection.</x:v>
      </x:c>
      <x:c r="F17"/>
      <x:c r="G17"/>
      <x:c r="H17"/>
      <x:c r="I17"/>
      <x:c r="J17"/>
      <x:c r="K17"/>
    </x:row>
    <x:row r="18" ht="30" customHeight="1">
      <x:c r="A18" s="73" t="str">
        <x:v>VLV-007</x:v>
      </x:c>
      <x:c r="B18" s="74" t="str">
        <x:v>Ventilation</x:v>
      </x:c>
      <x:c r="C18" s="74" t="str">
        <x:v>Inspection</x:v>
      </x:c>
      <x:c r="D18" s="74" t="str">
        <x:v>Conduit principal</x:v>
      </x:c>
      <x:c r="E18" s="75" t="str">
        <x:v>Programmer une inspection.</x:v>
      </x:c>
      <x:c r="F18"/>
      <x:c r="G18"/>
      <x:c r="H18"/>
      <x:c r="I18"/>
      <x:c r="J18"/>
      <x:c r="K18"/>
    </x:row>
    <x:row r="20" ht="36" customHeight="1">
      <x:c r="A20" s="79" t="str">
        <x:v>Limite de source: les observations sont génériques et ne donnent pas un historique distinct par identifiant; elles sont donc rattachées à toutes les vannes avec la mention Sections 1 à 5.</x:v>
      </x:c>
      <x:c r="B20" s="79"/>
      <x:c r="C20" s="79"/>
      <x:c r="D20" s="79"/>
      <x:c r="E20" s="79"/>
      <x:c r="F20" s="79"/>
      <x:c r="G20" s="79"/>
      <x:c r="H20" s="79"/>
      <x:c r="I20" s="79"/>
      <x:c r="J20" s="79"/>
      <x:c r="K20" s="79"/>
    </x:row>
  </x:sheetData>
  <x:mergeCells>
    <x:mergeCell ref="A1:K1"/>
    <x:mergeCell ref="A2:K2"/>
    <x:mergeCell ref="A15:K15"/>
    <x:mergeCell ref="A20:K20"/>
  </x:mergeCells>
  <x:conditionalFormatting sqref="A9:A11">
    <x:cfRule type="containsText" dxfId="0" priority="1" operator="containsText" text="OK"/>
    <x:cfRule type="containsText" dxfId="1" priority="2" operator="containsText" text="Inspection"/>
    <x:cfRule type="containsText" dxfId="2" priority="3" operator="containsText" text="À remplacer"/>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8" hidden="0" customWidth="1"/>
    <x:col min="4" max="4" width="14" hidden="0" customWidth="1"/>
    <x:col min="5" max="5" width="10" hidden="0" customWidth="1"/>
    <x:col min="6" max="6" width="10" hidden="0" customWidth="1"/>
    <x:col min="7" max="7" width="16" hidden="0" customWidth="1"/>
    <x:col min="8" max="8" width="22" hidden="0" customWidth="1"/>
    <x:col min="9" max="9" width="15" hidden="0" customWidth="1"/>
    <x:col min="10" max="10" width="24" hidden="0" customWidth="1"/>
    <x:col min="11" max="11" width="58" hidden="0" customWidth="1"/>
    <x:col min="12" max="12" width="22" hidden="0" customWidth="1"/>
    <x:col min="13" max="13" width="12" hidden="0" customWidth="1"/>
    <x:col min="14" max="14" width="48" hidden="0" customWidth="1"/>
  </x:cols>
  <x:sheetData>
    <x:row r="1" ht="30" customHeight="1">
      <x:c r="A1" s="4" t="str">
        <x:v>Équipements - registre détaillé</x:v>
      </x:c>
      <x:c r="B1" s="4"/>
      <x:c r="C1" s="4"/>
      <x:c r="D1" s="4"/>
      <x:c r="E1" s="4"/>
      <x:c r="F1" s="4"/>
      <x:c r="G1" s="4"/>
      <x:c r="H1" s="4"/>
      <x:c r="I1" s="4"/>
      <x:c r="J1" s="4"/>
      <x:c r="K1" s="4"/>
      <x:c r="L1" s="4"/>
      <x:c r="M1" s="4"/>
      <x:c r="N1" s="4"/>
    </x:row>
    <x:row r="2" ht="28" customHeight="1">
      <x:c r="A2" s="8" t="str">
        <x:v>Une ligne par équipement. Les colonnes J (action) et les synthèses sont calculées à partir des valeurs saisies dans ce registre.</x:v>
      </x:c>
      <x:c r="B2" s="8"/>
      <x:c r="C2" s="8"/>
      <x:c r="D2" s="8"/>
      <x:c r="E2" s="8"/>
      <x:c r="F2" s="8"/>
      <x:c r="G2" s="8"/>
      <x:c r="H2" s="8"/>
      <x:c r="I2" s="8"/>
      <x:c r="J2" s="8"/>
      <x:c r="K2" s="8"/>
      <x:c r="L2" s="8"/>
      <x:c r="M2" s="8"/>
      <x:c r="N2" s="8"/>
    </x:row>
    <x:row r="4" ht="28" customHeight="1">
      <x:c r="A4" s="89" t="str">
        <x:v>ID</x:v>
      </x:c>
      <x:c r="B4" s="89" t="str">
        <x:v>Catégorie</x:v>
      </x:c>
      <x:c r="C4" s="89" t="str">
        <x:v>Système</x:v>
      </x:c>
      <x:c r="D4" s="89" t="str">
        <x:v>Type</x:v>
      </x:c>
      <x:c r="E4" s="89" t="str">
        <x:v>DN (mm)</x:v>
      </x:c>
      <x:c r="F4" s="89" t="str">
        <x:v>PN (bar)</x:v>
      </x:c>
      <x:c r="G4" s="89" t="str">
        <x:v>Matériau</x:v>
      </x:c>
      <x:c r="H4" s="89" t="str">
        <x:v>Position</x:v>
      </x:c>
      <x:c r="I4" s="89" t="str">
        <x:v>État (source)</x:v>
      </x:c>
      <x:c r="J4" s="89" t="str">
        <x:v>Action recommandée</x:v>
      </x:c>
      <x:c r="K4" s="89" t="str">
        <x:v>Observations globales</x:v>
      </x:c>
      <x:c r="L4" s="89" t="str">
        <x:v>Sections source</x:v>
      </x:c>
      <x:c r="M4" s="89" t="str">
        <x:v>Page source</x:v>
      </x:c>
      <x:c r="N4" s="89" t="str">
        <x:v>Fichier source</x:v>
      </x:c>
    </x:row>
    <x:row r="5" ht="52" customHeight="1">
      <x:c r="A5" s="90" t="str">
        <x:v>VLV-001</x:v>
      </x:c>
      <x:c r="B5" s="90" t="str">
        <x:v>Valve</x:v>
      </x:c>
      <x:c r="C5" s="90" t="str">
        <x:v>Ballast</x:v>
      </x:c>
      <x:c r="D5" s="90" t="str">
        <x:v>Papillon</x:v>
      </x:c>
      <x:c r="E5" s="91" t="n">
        <x:v>150</x:v>
      </x:c>
      <x:c r="F5" s="91" t="n">
        <x:v>16</x:v>
      </x:c>
      <x:c r="G5" s="90" t="str">
        <x:v>Acier inox</x:v>
      </x:c>
      <x:c r="H5" s="90" t="str">
        <x:v>Pont B - Frame 12</x:v>
      </x:c>
      <x:c r="I5" s="90" t="str">
        <x:v>OK</x:v>
      </x:c>
      <x:c r="J5" s="92" t="str">
        <x:f>IF(I5="À remplacer","Planifier le remplacement",IF(I5="Inspection","Programmer inspection","Aucune action immédiate"))</x:f>
        <x:v>Aucune action immédiate</x:v>
      </x:c>
      <x:c r="K5" s="92" t="str">
        <x:v>Inspection visuelle préalable; contrôle des joints; vérification des couples de serrage; absence de corrosion avancée; essais d'ouverture et de fermeture; validation de l'étanchéité après remise en service.</x:v>
      </x:c>
      <x:c r="L5" s="90" t="str">
        <x:v>Sections 1 à 5</x:v>
      </x:c>
      <x:c r="M5" s="90" t="n">
        <x:v>1</x:v>
      </x:c>
      <x:c r="N5" s="92" t="str">
        <x:v>/Users/erwannrousseau/Downloads/Test_Valves_Bateau.pdf</x:v>
      </x:c>
    </x:row>
    <x:row r="6" ht="52" customHeight="1">
      <x:c r="A6" s="90" t="str">
        <x:v>VLV-002</x:v>
      </x:c>
      <x:c r="B6" s="90" t="str">
        <x:v>Valve</x:v>
      </x:c>
      <x:c r="C6" s="90" t="str">
        <x:v>Refroidissement</x:v>
      </x:c>
      <x:c r="D6" s="90" t="str">
        <x:v>Boisseau</x:v>
      </x:c>
      <x:c r="E6" s="91" t="n">
        <x:v>80</x:v>
      </x:c>
      <x:c r="F6" s="91" t="n">
        <x:v>25</x:v>
      </x:c>
      <x:c r="G6" s="90" t="str">
        <x:v>Bronze</x:v>
      </x:c>
      <x:c r="H6" s="90" t="str">
        <x:v>Salle des machines</x:v>
      </x:c>
      <x:c r="I6" s="90" t="str">
        <x:v>Inspection</x:v>
      </x:c>
      <x:c r="J6" s="92" t="str">
        <x:f>IF(I6="À remplacer","Planifier le remplacement",IF(I6="Inspection","Programmer inspection","Aucune action immédiate"))</x:f>
        <x:v>Programmer inspection</x:v>
      </x:c>
      <x:c r="K6" s="92" t="str">
        <x:v>Inspection visuelle préalable; contrôle des joints; vérification des couples de serrage; absence de corrosion avancée; essais d'ouverture et de fermeture; validation de l'étanchéité après remise en service.</x:v>
      </x:c>
      <x:c r="L6" s="90" t="str">
        <x:v>Sections 1 à 5</x:v>
      </x:c>
      <x:c r="M6" s="90" t="n">
        <x:v>1</x:v>
      </x:c>
      <x:c r="N6" s="92" t="str">
        <x:v>/Users/erwannrousseau/Downloads/Test_Valves_Bateau.pdf</x:v>
      </x:c>
    </x:row>
    <x:row r="7" ht="52" customHeight="1">
      <x:c r="A7" s="90" t="str">
        <x:v>VLV-003</x:v>
      </x:c>
      <x:c r="B7" s="90" t="str">
        <x:v>Valve</x:v>
      </x:c>
      <x:c r="C7" s="90" t="str">
        <x:v>Incendie</x:v>
      </x:c>
      <x:c r="D7" s="90" t="str">
        <x:v>Opercule</x:v>
      </x:c>
      <x:c r="E7" s="91" t="n">
        <x:v>100</x:v>
      </x:c>
      <x:c r="F7" s="91" t="n">
        <x:v>16</x:v>
      </x:c>
      <x:c r="G7" s="90" t="str">
        <x:v>Fonte ductile</x:v>
      </x:c>
      <x:c r="H7" s="90" t="str">
        <x:v>Pont C</x:v>
      </x:c>
      <x:c r="I7" s="90" t="str">
        <x:v>OK</x:v>
      </x:c>
      <x:c r="J7" s="92" t="str">
        <x:f>IF(I7="À remplacer","Planifier le remplacement",IF(I7="Inspection","Programmer inspection","Aucune action immédiate"))</x:f>
        <x:v>Aucune action immédiate</x:v>
      </x:c>
      <x:c r="K7" s="92" t="str">
        <x:v>Inspection visuelle préalable; contrôle des joints; vérification des couples de serrage; absence de corrosion avancée; essais d'ouverture et de fermeture; validation de l'étanchéité après remise en service.</x:v>
      </x:c>
      <x:c r="L7" s="90" t="str">
        <x:v>Sections 1 à 5</x:v>
      </x:c>
      <x:c r="M7" s="90" t="n">
        <x:v>1</x:v>
      </x:c>
      <x:c r="N7" s="92" t="str">
        <x:v>/Users/erwannrousseau/Downloads/Test_Valves_Bateau.pdf</x:v>
      </x:c>
    </x:row>
    <x:row r="8" ht="52" customHeight="1">
      <x:c r="A8" s="90" t="str">
        <x:v>VLV-004</x:v>
      </x:c>
      <x:c r="B8" s="90" t="str">
        <x:v>Valve</x:v>
      </x:c>
      <x:c r="C8" s="90" t="str">
        <x:v>Carburant</x:v>
      </x:c>
      <x:c r="D8" s="90" t="str">
        <x:v>Bille</x:v>
      </x:c>
      <x:c r="E8" s="91" t="n">
        <x:v>50</x:v>
      </x:c>
      <x:c r="F8" s="91" t="n">
        <x:v>40</x:v>
      </x:c>
      <x:c r="G8" s="90" t="str">
        <x:v>Acier carbone</x:v>
      </x:c>
      <x:c r="H8" s="90" t="str">
        <x:v>Réservoir tribord</x:v>
      </x:c>
      <x:c r="I8" s="90" t="str">
        <x:v>À remplacer</x:v>
      </x:c>
      <x:c r="J8" s="92" t="str">
        <x:f>IF(I8="À remplacer","Planifier le remplacement",IF(I8="Inspection","Programmer inspection","Aucune action immédiate"))</x:f>
        <x:v>Planifier le remplacement</x:v>
      </x:c>
      <x:c r="K8" s="92" t="str">
        <x:v>Inspection visuelle préalable; contrôle des joints; vérification des couples de serrage; absence de corrosion avancée; essais d'ouverture et de fermeture; validation de l'étanchéité après remise en service.</x:v>
      </x:c>
      <x:c r="L8" s="90" t="str">
        <x:v>Sections 1 à 5</x:v>
      </x:c>
      <x:c r="M8" s="90" t="n">
        <x:v>1</x:v>
      </x:c>
      <x:c r="N8" s="92" t="str">
        <x:v>/Users/erwannrousseau/Downloads/Test_Valves_Bateau.pdf</x:v>
      </x:c>
    </x:row>
    <x:row r="9" ht="52" customHeight="1">
      <x:c r="A9" s="90" t="str">
        <x:v>VLV-005</x:v>
      </x:c>
      <x:c r="B9" s="90" t="str">
        <x:v>Valve</x:v>
      </x:c>
      <x:c r="C9" s="90" t="str">
        <x:v>Eau douce</x:v>
      </x:c>
      <x:c r="D9" s="90" t="str">
        <x:v>Membrane</x:v>
      </x:c>
      <x:c r="E9" s="91" t="n">
        <x:v>65</x:v>
      </x:c>
      <x:c r="F9" s="91" t="n">
        <x:v>10</x:v>
      </x:c>
      <x:c r="G9" s="90" t="str">
        <x:v>PVC</x:v>
      </x:c>
      <x:c r="H9" s="90" t="str">
        <x:v>Local technique</x:v>
      </x:c>
      <x:c r="I9" s="90" t="str">
        <x:v>OK</x:v>
      </x:c>
      <x:c r="J9" s="92" t="str">
        <x:f>IF(I9="À remplacer","Planifier le remplacement",IF(I9="Inspection","Programmer inspection","Aucune action immédiate"))</x:f>
        <x:v>Aucune action immédiate</x:v>
      </x:c>
      <x:c r="K9" s="92" t="str">
        <x:v>Inspection visuelle préalable; contrôle des joints; vérification des couples de serrage; absence de corrosion avancée; essais d'ouverture et de fermeture; validation de l'étanchéité après remise en service.</x:v>
      </x:c>
      <x:c r="L9" s="90" t="str">
        <x:v>Sections 1 à 5</x:v>
      </x:c>
      <x:c r="M9" s="90" t="n">
        <x:v>1</x:v>
      </x:c>
      <x:c r="N9" s="92" t="str">
        <x:v>/Users/erwannrousseau/Downloads/Test_Valves_Bateau.pdf</x:v>
      </x:c>
    </x:row>
    <x:row r="10" ht="52" customHeight="1">
      <x:c r="A10" s="90" t="str">
        <x:v>VLV-006</x:v>
      </x:c>
      <x:c r="B10" s="90" t="str">
        <x:v>Valve</x:v>
      </x:c>
      <x:c r="C10" s="90" t="str">
        <x:v>Hydraulique</x:v>
      </x:c>
      <x:c r="D10" s="90" t="str">
        <x:v>Aiguille</x:v>
      </x:c>
      <x:c r="E10" s="91" t="n">
        <x:v>25</x:v>
      </x:c>
      <x:c r="F10" s="91" t="n">
        <x:v>250</x:v>
      </x:c>
      <x:c r="G10" s="90" t="str">
        <x:v>Inox 316</x:v>
      </x:c>
      <x:c r="H10" s="90" t="str">
        <x:v>Treuil avant</x:v>
      </x:c>
      <x:c r="I10" s="90" t="str">
        <x:v>OK</x:v>
      </x:c>
      <x:c r="J10" s="92" t="str">
        <x:f>IF(I10="À remplacer","Planifier le remplacement",IF(I10="Inspection","Programmer inspection","Aucune action immédiate"))</x:f>
        <x:v>Aucune action immédiate</x:v>
      </x:c>
      <x:c r="K10" s="92" t="str">
        <x:v>Inspection visuelle préalable; contrôle des joints; vérification des couples de serrage; absence de corrosion avancée; essais d'ouverture et de fermeture; validation de l'étanchéité après remise en service.</x:v>
      </x:c>
      <x:c r="L10" s="90" t="str">
        <x:v>Sections 1 à 5</x:v>
      </x:c>
      <x:c r="M10" s="90" t="n">
        <x:v>1</x:v>
      </x:c>
      <x:c r="N10" s="92" t="str">
        <x:v>/Users/erwannrousseau/Downloads/Test_Valves_Bateau.pdf</x:v>
      </x:c>
    </x:row>
    <x:row r="11" ht="52" customHeight="1">
      <x:c r="A11" s="90" t="str">
        <x:v>VLV-007</x:v>
      </x:c>
      <x:c r="B11" s="90" t="str">
        <x:v>Valve</x:v>
      </x:c>
      <x:c r="C11" s="90" t="str">
        <x:v>Ventilation</x:v>
      </x:c>
      <x:c r="D11" s="90" t="str">
        <x:v>Clapet</x:v>
      </x:c>
      <x:c r="E11" s="91" t="n">
        <x:v>200</x:v>
      </x:c>
      <x:c r="F11" s="91" t="n">
        <x:v>6</x:v>
      </x:c>
      <x:c r="G11" s="90" t="str">
        <x:v>Aluminium</x:v>
      </x:c>
      <x:c r="H11" s="90" t="str">
        <x:v>Conduit principal</x:v>
      </x:c>
      <x:c r="I11" s="90" t="str">
        <x:v>Inspection</x:v>
      </x:c>
      <x:c r="J11" s="92" t="str">
        <x:f>IF(I11="À remplacer","Planifier le remplacement",IF(I11="Inspection","Programmer inspection","Aucune action immédiate"))</x:f>
        <x:v>Programmer inspection</x:v>
      </x:c>
      <x:c r="K11" s="92" t="str">
        <x:v>Inspection visuelle préalable; contrôle des joints; vérification des couples de serrage; absence de corrosion avancée; essais d'ouverture et de fermeture; validation de l'étanchéité après remise en service.</x:v>
      </x:c>
      <x:c r="L11" s="90" t="str">
        <x:v>Sections 1 à 5</x:v>
      </x:c>
      <x:c r="M11" s="90" t="n">
        <x:v>1</x:v>
      </x:c>
      <x:c r="N11" s="92" t="str">
        <x:v>/Users/erwannrousseau/Downloads/Test_Valves_Bateau.pdf</x:v>
      </x:c>
    </x:row>
    <x:row r="12" ht="52" customHeight="1">
      <x:c r="A12" s="90" t="str">
        <x:v>VLV-008</x:v>
      </x:c>
      <x:c r="B12" s="90" t="str">
        <x:v>Valve</x:v>
      </x:c>
      <x:c r="C12" s="90" t="str">
        <x:v>Huile</x:v>
      </x:c>
      <x:c r="D12" s="90" t="str">
        <x:v>Soupape</x:v>
      </x:c>
      <x:c r="E12" s="91" t="n">
        <x:v>40</x:v>
      </x:c>
      <x:c r="F12" s="91" t="n">
        <x:v>63</x:v>
      </x:c>
      <x:c r="G12" s="90" t="str">
        <x:v>Inox</x:v>
      </x:c>
      <x:c r="H12" s="90" t="str">
        <x:v>Salle machines</x:v>
      </x:c>
      <x:c r="I12" s="90" t="str">
        <x:v>OK</x:v>
      </x:c>
      <x:c r="J12" s="92" t="str">
        <x:f>IF(I12="À remplacer","Planifier le remplacement",IF(I12="Inspection","Programmer inspection","Aucune action immédiate"))</x:f>
        <x:v>Aucune action immédiate</x:v>
      </x:c>
      <x:c r="K12" s="92" t="str">
        <x:v>Inspection visuelle préalable; contrôle des joints; vérification des couples de serrage; absence de corrosion avancée; essais d'ouverture et de fermeture; validation de l'étanchéité après remise en service.</x:v>
      </x:c>
      <x:c r="L12" s="90" t="str">
        <x:v>Sections 1 à 5</x:v>
      </x:c>
      <x:c r="M12" s="90" t="n">
        <x:v>1</x:v>
      </x:c>
      <x:c r="N12" s="92" t="str">
        <x:v>/Users/erwannrousseau/Downloads/Test_Valves_Bateau.pdf</x:v>
      </x:c>
    </x:row>
  </x:sheetData>
  <x:mergeCells>
    <x:mergeCell ref="A1:N1"/>
    <x:mergeCell ref="A2:N2"/>
  </x:mergeCells>
  <x:conditionalFormatting sqref="I5:I12">
    <x:cfRule type="containsText" dxfId="3" priority="1" operator="containsText" text="OK"/>
    <x:cfRule type="containsText" dxfId="4" priority="2" operator="containsText" text="Inspection"/>
    <x:cfRule type="containsText" dxfId="5" priority="3" operator="containsText" text="À remplacer"/>
  </x:conditionalFormatting>
  <x:conditionalFormatting sqref="J5:J12">
    <x:cfRule type="containsText" dxfId="6" priority="4" operator="containsText" text="remplacement"/>
    <x:cfRule type="containsText" dxfId="7" priority="5" operator="containsText" text="inspection"/>
  </x:conditionalFormatting>
  <x:pageMargins left="0.7" right="0.7" top="0.75" bottom="0.75" header="0.3" footer="0.3"/>
  <x:tableParts count="1">
    <x:tablePart xmlns:r="http://schemas.openxmlformats.org/officeDocument/2006/relationships" r:id="R1dd112185322414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96" hidden="0" customWidth="1"/>
    <x:col min="4" max="4" width="10" hidden="0" customWidth="1"/>
    <x:col min="5" max="5" width="48" hidden="0" customWidth="1"/>
  </x:cols>
  <x:sheetData>
    <x:row r="1" ht="30" customHeight="1">
      <x:c r="A1" s="4" t="str">
        <x:v>Observations du document source</x:v>
      </x:c>
      <x:c r="B1" s="4"/>
      <x:c r="C1" s="4"/>
      <x:c r="D1" s="4"/>
      <x:c r="E1" s="4"/>
    </x:row>
    <x:row r="2" ht="28" customHeight="1">
      <x:c r="A2" s="8" t="str">
        <x:v>Les cinq sections sont conservées séparément. Leur portée est générale: le PDF ne fournit pas de texte spécifique à un ID de vanne.</x:v>
      </x:c>
      <x:c r="B2" s="8"/>
      <x:c r="C2" s="8"/>
      <x:c r="D2" s="8"/>
      <x:c r="E2" s="8"/>
    </x:row>
    <x:row r="4" ht="28" customHeight="1">
      <x:c r="A4" s="35" t="str">
        <x:v>Section</x:v>
      </x:c>
      <x:c r="B4" s="36" t="str">
        <x:v>Portée</x:v>
      </x:c>
      <x:c r="C4" s="36" t="str">
        <x:v>Texte centralisé</x:v>
      </x:c>
      <x:c r="D4" s="36" t="str">
        <x:v>Pages</x:v>
      </x:c>
      <x:c r="E4" s="37" t="str">
        <x:v>Fichier source</x:v>
      </x:c>
    </x:row>
    <x:row r="5" ht="118" customHeight="1">
      <x:c r="A5" s="93" t="str">
        <x:v>Section 1</x:v>
      </x:c>
      <x:c r="B5" s="94" t="str">
        <x:v>Toutes les vannes</x:v>
      </x:c>
      <x:c r="C5" s="94" t="str">
        <x:v>Ce rapport est destiné à des essais de lecture automatique de documents. Chaque vanne possède un identifiant unique, un système associé, une pression nominale, un diamètre nominal, un matériau de fabrication ainsi qu'un historique d'inspection. Les informations présentées sont fictives et servent uniquement à valider des traitements de texte, d'extraction de tableaux, de classification et de recherche sémantique. Une inspection visuelle est supposée avoir été réalisée avant toute intervention. Les remarques de maintenance incluent le contrôle des joints, la vérification des couples de serrage, l'absence de corrosion avancée, les essais d'ouverture et de fermeture ainsi que la validation de l'étanchéité après remise en service.</x:v>
      </x:c>
      <x:c r="D5" s="94" t="str">
        <x:v>1</x:v>
      </x:c>
      <x:c r="E5" s="95" t="str">
        <x:v>/Users/erwannrousseau/Downloads/Test_Valves_Bateau.pdf</x:v>
      </x:c>
    </x:row>
    <x:row r="6" ht="118" customHeight="1">
      <x:c r="A6" s="96" t="str">
        <x:v>Section 2</x:v>
      </x:c>
      <x:c r="B6" s="97" t="str">
        <x:v>Toutes les vannes</x:v>
      </x:c>
      <x:c r="C6" s="97" t="str">
        <x:v>Ce rapport est destiné à des essais de lecture automatique de documents. Chaque vanne possède un identifiant unique, un système associé, une pression nominale, un diamètre nominal, un matériau de fabrication ainsi qu'un historique d'inspection. Les informations présentées sont fictives et servent uniquement à valider des traitements de texte, d'extraction de tableaux, de classification et de recherche sémantique. Une inspection visuelle est supposée avoir été réalisée avant toute intervention. Les remarques de maintenance incluent le contrôle des joints, la vérification des couples de serrage, l'absence de corrosion avancée, les essais d'ouverture et de fermeture ainsi que la validation de l'étanchéité après remise en service.</x:v>
      </x:c>
      <x:c r="D6" s="97" t="str">
        <x:v>1-2</x:v>
      </x:c>
      <x:c r="E6" s="98" t="str">
        <x:v>/Users/erwannrousseau/Downloads/Test_Valves_Bateau.pdf</x:v>
      </x:c>
    </x:row>
    <x:row r="7" ht="118" customHeight="1">
      <x:c r="A7" s="96" t="str">
        <x:v>Section 3</x:v>
      </x:c>
      <x:c r="B7" s="97" t="str">
        <x:v>Toutes les vannes</x:v>
      </x:c>
      <x:c r="C7" s="97" t="str">
        <x:v>Ce rapport est destiné à des essais de lecture automatique de documents. Chaque vanne possède un identifiant unique, un système associé, une pression nominale, un diamètre nominal, un matériau de fabrication ainsi qu'un historique d'inspection. Les informations présentées sont fictives et servent uniquement à valider des traitements de texte, d'extraction de tableaux, de classification et de recherche sémantique. Une inspection visuelle est supposée avoir été réalisée avant toute intervention. Les remarques de maintenance incluent le contrôle des joints, la vérification des couples de serrage, l'absence de corrosion avancée, les essais d'ouverture et de fermeture ainsi que la validation de l'étanchéité après remise en service.</x:v>
      </x:c>
      <x:c r="D7" s="97" t="str">
        <x:v>2</x:v>
      </x:c>
      <x:c r="E7" s="98" t="str">
        <x:v>/Users/erwannrousseau/Downloads/Test_Valves_Bateau.pdf</x:v>
      </x:c>
    </x:row>
    <x:row r="8" ht="118" customHeight="1">
      <x:c r="A8" s="96" t="str">
        <x:v>Section 4</x:v>
      </x:c>
      <x:c r="B8" s="97" t="str">
        <x:v>Toutes les vannes</x:v>
      </x:c>
      <x:c r="C8" s="97" t="str">
        <x:v>Ce rapport est destiné à des essais de lecture automatique de documents. Chaque vanne possède un identifiant unique, un système associé, une pression nominale, un diamètre nominal, un matériau de fabrication ainsi qu'un historique d'inspection. Les informations présentées sont fictives et servent uniquement à valider des traitements de texte, d'extraction de tableaux, de classification et de recherche sémantique. Une inspection visuelle est supposée avoir été réalisée avant toute intervention. Les remarques de maintenance incluent le contrôle des joints, la vérification des couples de serrage, l'absence de corrosion avancée, les essais d'ouverture et de fermeture ainsi que la validation de l'étanchéité après remise en service.</x:v>
      </x:c>
      <x:c r="D8" s="97" t="str">
        <x:v>2</x:v>
      </x:c>
      <x:c r="E8" s="98" t="str">
        <x:v>/Users/erwannrousseau/Downloads/Test_Valves_Bateau.pdf</x:v>
      </x:c>
    </x:row>
    <x:row r="9" ht="118" customHeight="1">
      <x:c r="A9" s="99" t="str">
        <x:v>Section 5</x:v>
      </x:c>
      <x:c r="B9" s="100" t="str">
        <x:v>Toutes les vannes</x:v>
      </x:c>
      <x:c r="C9" s="100" t="str">
        <x:v>Ce rapport est destiné à des essais de lecture automatique de documents. Chaque vanne possède un identifiant unique, un système associé, une pression nominale, un diamètre nominal, un matériau de fabrication ainsi qu'un historique d'inspection. Les informations présentées sont fictives et servent uniquement à valider des traitements de texte, d'extraction de tableaux, de classification et de recherche sémantique. Une inspection visuelle est supposée avoir été réalisée avant toute intervention. Les remarques de maintenance incluent le contrôle des joints, la vérification des couples de serrage, l'absence de corrosion avancée, les essais d'ouverture et de fermeture ainsi que la validation de l'étanchéité après remise en service.</x:v>
      </x:c>
      <x:c r="D9" s="100" t="str">
        <x:v>2-3</x:v>
      </x:c>
      <x:c r="E9" s="101" t="str">
        <x:v>/Users/erwannrousseau/Downloads/Test_Valves_Bateau.pdf</x:v>
      </x:c>
    </x:row>
  </x:sheetData>
  <x:mergeCells>
    <x:mergeCell ref="A1:E1"/>
    <x:mergeCell ref="A2:E2"/>
  </x:mergeCells>
  <x:pageMargins left="0.7" right="0.7" top="0.75" bottom="0.75" header="0.3" footer="0.3"/>
  <x:tableParts count="1">
    <x:tablePart xmlns:r="http://schemas.openxmlformats.org/officeDocument/2006/relationships" r:id="R306b150519d8434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18" hidden="0" customWidth="1"/>
    <x:col min="4" max="4" width="12" hidden="0" customWidth="1"/>
    <x:col min="5" max="5" width="34" hidden="0" customWidth="1"/>
  </x:cols>
  <x:sheetData>
    <x:row r="1" ht="30" customHeight="1">
      <x:c r="A1" s="4" t="str">
        <x:v>Référentiel de recherche</x:v>
      </x:c>
      <x:c r="B1" s="4"/>
      <x:c r="C1" s="4"/>
      <x:c r="D1" s="4"/>
      <x:c r="E1" s="4"/>
    </x:row>
    <x:row r="2" ht="28" customHeight="1">
      <x:c r="A2" s="8" t="str">
        <x:v>Valeurs extraites du tableau des vannes. Les comptages se recalculent si le registre est complété avec d'autres équipements.</x:v>
      </x:c>
      <x:c r="B2" s="8"/>
      <x:c r="C2" s="8"/>
      <x:c r="D2" s="8"/>
      <x:c r="E2" s="8"/>
    </x:row>
    <x:row r="4" ht="28" customHeight="1">
      <x:c r="A4" s="35" t="str">
        <x:v>Catégorie</x:v>
      </x:c>
      <x:c r="B4" s="36" t="str">
        <x:v>Valeur</x:v>
      </x:c>
      <x:c r="C4" s="36" t="str">
        <x:v>Type de référence</x:v>
      </x:c>
      <x:c r="D4" s="36" t="str">
        <x:v>Nombre</x:v>
      </x:c>
      <x:c r="E4" s="37" t="str">
        <x:v>Note</x:v>
      </x:c>
    </x:row>
    <x:row r="5">
      <x:c r="A5" s="80" t="str">
        <x:v>Valve</x:v>
      </x:c>
      <x:c r="B5" s="81" t="str">
        <x:v>Ballast</x:v>
      </x:c>
      <x:c r="C5" s="81" t="str">
        <x:v>Système</x:v>
      </x:c>
      <x:c r="D5" s="81" t="n">
        <x:f>COUNTIF('Équipements'!$C$5:$C$12,B5)</x:f>
        <x:v>1</x:v>
      </x:c>
      <x:c r="E5" s="82" t="str">
        <x:v>Extrait du champ Système</x:v>
      </x:c>
    </x:row>
    <x:row r="6">
      <x:c r="A6" s="83" t="str">
        <x:v>Valve</x:v>
      </x:c>
      <x:c r="B6" s="84" t="str">
        <x:v>Refroidissement</x:v>
      </x:c>
      <x:c r="C6" s="84" t="str">
        <x:v>Système</x:v>
      </x:c>
      <x:c r="D6" s="84" t="n">
        <x:f>COUNTIF('Équipements'!$C$5:$C$12,B6)</x:f>
        <x:v>1</x:v>
      </x:c>
      <x:c r="E6" s="85" t="str">
        <x:v>Extrait du champ Système</x:v>
      </x:c>
    </x:row>
    <x:row r="7">
      <x:c r="A7" s="83" t="str">
        <x:v>Valve</x:v>
      </x:c>
      <x:c r="B7" s="84" t="str">
        <x:v>Incendie</x:v>
      </x:c>
      <x:c r="C7" s="84" t="str">
        <x:v>Système</x:v>
      </x:c>
      <x:c r="D7" s="84" t="n">
        <x:f>COUNTIF('Équipements'!$C$5:$C$12,B7)</x:f>
        <x:v>1</x:v>
      </x:c>
      <x:c r="E7" s="85" t="str">
        <x:v>Extrait du champ Système</x:v>
      </x:c>
    </x:row>
    <x:row r="8">
      <x:c r="A8" s="83" t="str">
        <x:v>Valve</x:v>
      </x:c>
      <x:c r="B8" s="84" t="str">
        <x:v>Carburant</x:v>
      </x:c>
      <x:c r="C8" s="84" t="str">
        <x:v>Système</x:v>
      </x:c>
      <x:c r="D8" s="84" t="n">
        <x:f>COUNTIF('Équipements'!$C$5:$C$12,B8)</x:f>
        <x:v>1</x:v>
      </x:c>
      <x:c r="E8" s="85" t="str">
        <x:v>Extrait du champ Système</x:v>
      </x:c>
    </x:row>
    <x:row r="9">
      <x:c r="A9" s="83" t="str">
        <x:v>Valve</x:v>
      </x:c>
      <x:c r="B9" s="84" t="str">
        <x:v>Eau douce</x:v>
      </x:c>
      <x:c r="C9" s="84" t="str">
        <x:v>Système</x:v>
      </x:c>
      <x:c r="D9" s="84" t="n">
        <x:f>COUNTIF('Équipements'!$C$5:$C$12,B9)</x:f>
        <x:v>1</x:v>
      </x:c>
      <x:c r="E9" s="85" t="str">
        <x:v>Extrait du champ Système</x:v>
      </x:c>
    </x:row>
    <x:row r="10">
      <x:c r="A10" s="83" t="str">
        <x:v>Valve</x:v>
      </x:c>
      <x:c r="B10" s="84" t="str">
        <x:v>Hydraulique</x:v>
      </x:c>
      <x:c r="C10" s="84" t="str">
        <x:v>Système</x:v>
      </x:c>
      <x:c r="D10" s="84" t="n">
        <x:f>COUNTIF('Équipements'!$C$5:$C$12,B10)</x:f>
        <x:v>1</x:v>
      </x:c>
      <x:c r="E10" s="85" t="str">
        <x:v>Extrait du champ Système</x:v>
      </x:c>
    </x:row>
    <x:row r="11">
      <x:c r="A11" s="83" t="str">
        <x:v>Valve</x:v>
      </x:c>
      <x:c r="B11" s="84" t="str">
        <x:v>Ventilation</x:v>
      </x:c>
      <x:c r="C11" s="84" t="str">
        <x:v>Système</x:v>
      </x:c>
      <x:c r="D11" s="84" t="n">
        <x:f>COUNTIF('Équipements'!$C$5:$C$12,B11)</x:f>
        <x:v>1</x:v>
      </x:c>
      <x:c r="E11" s="85" t="str">
        <x:v>Extrait du champ Système</x:v>
      </x:c>
    </x:row>
    <x:row r="12">
      <x:c r="A12" s="86" t="str">
        <x:v>Valve</x:v>
      </x:c>
      <x:c r="B12" s="87" t="str">
        <x:v>Huile</x:v>
      </x:c>
      <x:c r="C12" s="87" t="str">
        <x:v>Système</x:v>
      </x:c>
      <x:c r="D12" s="87" t="n">
        <x:f>COUNTIF('Équipements'!$C$5:$C$12,B12)</x:f>
        <x:v>1</x:v>
      </x:c>
      <x:c r="E12" s="88" t="str">
        <x:v>Extrait du champ Système</x:v>
      </x:c>
    </x:row>
    <x:row r="14">
      <x:c r="A14" s="65" t="str">
        <x:v>Matériaux</x:v>
      </x:c>
      <x:c r="B14" s="65"/>
      <x:c r="C14" s="65"/>
      <x:c r="D14" s="65"/>
      <x:c r="E14" s="65"/>
    </x:row>
    <x:row r="16">
      <x:c r="A16" s="80" t="str">
        <x:v>Valve</x:v>
      </x:c>
      <x:c r="B16" s="81" t="str">
        <x:v>Acier inox</x:v>
      </x:c>
      <x:c r="C16" s="81" t="str">
        <x:v>Matériau</x:v>
      </x:c>
      <x:c r="D16" s="81" t="n">
        <x:f>COUNTIF('Équipements'!$G$5:$G$12,B16)</x:f>
        <x:v>1</x:v>
      </x:c>
      <x:c r="E16" s="82" t="str">
        <x:v>Extrait du champ Matériau</x:v>
      </x:c>
    </x:row>
    <x:row r="17">
      <x:c r="A17" s="83" t="str">
        <x:v>Valve</x:v>
      </x:c>
      <x:c r="B17" s="84" t="str">
        <x:v>Bronze</x:v>
      </x:c>
      <x:c r="C17" s="84" t="str">
        <x:v>Matériau</x:v>
      </x:c>
      <x:c r="D17" s="84" t="n">
        <x:f>COUNTIF('Équipements'!$G$5:$G$12,B17)</x:f>
        <x:v>1</x:v>
      </x:c>
      <x:c r="E17" s="85" t="str">
        <x:v>Extrait du champ Matériau</x:v>
      </x:c>
    </x:row>
    <x:row r="18">
      <x:c r="A18" s="83" t="str">
        <x:v>Valve</x:v>
      </x:c>
      <x:c r="B18" s="84" t="str">
        <x:v>Fonte ductile</x:v>
      </x:c>
      <x:c r="C18" s="84" t="str">
        <x:v>Matériau</x:v>
      </x:c>
      <x:c r="D18" s="84" t="n">
        <x:f>COUNTIF('Équipements'!$G$5:$G$12,B18)</x:f>
        <x:v>1</x:v>
      </x:c>
      <x:c r="E18" s="85" t="str">
        <x:v>Extrait du champ Matériau</x:v>
      </x:c>
    </x:row>
    <x:row r="19">
      <x:c r="A19" s="83" t="str">
        <x:v>Valve</x:v>
      </x:c>
      <x:c r="B19" s="84" t="str">
        <x:v>Acier carbone</x:v>
      </x:c>
      <x:c r="C19" s="84" t="str">
        <x:v>Matériau</x:v>
      </x:c>
      <x:c r="D19" s="84" t="n">
        <x:f>COUNTIF('Équipements'!$G$5:$G$12,B19)</x:f>
        <x:v>1</x:v>
      </x:c>
      <x:c r="E19" s="85" t="str">
        <x:v>Extrait du champ Matériau</x:v>
      </x:c>
    </x:row>
    <x:row r="20">
      <x:c r="A20" s="83" t="str">
        <x:v>Valve</x:v>
      </x:c>
      <x:c r="B20" s="84" t="str">
        <x:v>PVC</x:v>
      </x:c>
      <x:c r="C20" s="84" t="str">
        <x:v>Matériau</x:v>
      </x:c>
      <x:c r="D20" s="84" t="n">
        <x:f>COUNTIF('Équipements'!$G$5:$G$12,B20)</x:f>
        <x:v>1</x:v>
      </x:c>
      <x:c r="E20" s="85" t="str">
        <x:v>Extrait du champ Matériau</x:v>
      </x:c>
    </x:row>
    <x:row r="21">
      <x:c r="A21" s="83" t="str">
        <x:v>Valve</x:v>
      </x:c>
      <x:c r="B21" s="84" t="str">
        <x:v>Inox 316</x:v>
      </x:c>
      <x:c r="C21" s="84" t="str">
        <x:v>Matériau</x:v>
      </x:c>
      <x:c r="D21" s="84" t="n">
        <x:f>COUNTIF('Équipements'!$G$5:$G$12,B21)</x:f>
        <x:v>1</x:v>
      </x:c>
      <x:c r="E21" s="85" t="str">
        <x:v>Extrait du champ Matériau</x:v>
      </x:c>
    </x:row>
    <x:row r="22">
      <x:c r="A22" s="83" t="str">
        <x:v>Valve</x:v>
      </x:c>
      <x:c r="B22" s="84" t="str">
        <x:v>Aluminium</x:v>
      </x:c>
      <x:c r="C22" s="84" t="str">
        <x:v>Matériau</x:v>
      </x:c>
      <x:c r="D22" s="84" t="n">
        <x:f>COUNTIF('Équipements'!$G$5:$G$12,B22)</x:f>
        <x:v>1</x:v>
      </x:c>
      <x:c r="E22" s="85" t="str">
        <x:v>Extrait du champ Matériau</x:v>
      </x:c>
    </x:row>
    <x:row r="23">
      <x:c r="A23" s="86" t="str">
        <x:v>Valve</x:v>
      </x:c>
      <x:c r="B23" s="87" t="str">
        <x:v>Inox</x:v>
      </x:c>
      <x:c r="C23" s="87" t="str">
        <x:v>Matériau</x:v>
      </x:c>
      <x:c r="D23" s="87" t="n">
        <x:f>COUNTIF('Équipements'!$G$5:$G$12,B23)</x:f>
        <x:v>1</x:v>
      </x:c>
      <x:c r="E23" s="88" t="str">
        <x:v>Extrait du champ Matériau</x:v>
      </x:c>
    </x:row>
    <x:row r="25">
      <x:c r="A25" s="65" t="str">
        <x:v>États</x:v>
      </x:c>
      <x:c r="B25" s="65"/>
      <x:c r="C25" s="65"/>
      <x:c r="D25" s="65"/>
      <x:c r="E25" s="65"/>
    </x:row>
    <x:row r="27">
      <x:c r="A27" s="80" t="str">
        <x:v>Valve</x:v>
      </x:c>
      <x:c r="B27" s="81" t="str">
        <x:v>OK</x:v>
      </x:c>
      <x:c r="C27" s="81" t="str">
        <x:v>État source</x:v>
      </x:c>
      <x:c r="D27" s="81" t="n">
        <x:f>COUNTIF('Équipements'!$I$5:$I$12,B27)</x:f>
        <x:v>5</x:v>
      </x:c>
      <x:c r="E27" s="82" t="str">
        <x:v>Valeur de statut du PDF</x:v>
      </x:c>
    </x:row>
    <x:row r="28">
      <x:c r="A28" s="83" t="str">
        <x:v>Valve</x:v>
      </x:c>
      <x:c r="B28" s="84" t="str">
        <x:v>Inspection</x:v>
      </x:c>
      <x:c r="C28" s="84" t="str">
        <x:v>État source</x:v>
      </x:c>
      <x:c r="D28" s="84" t="n">
        <x:f>COUNTIF('Équipements'!$I$5:$I$12,B28)</x:f>
        <x:v>2</x:v>
      </x:c>
      <x:c r="E28" s="85" t="str">
        <x:v>Valeur de statut du PDF</x:v>
      </x:c>
    </x:row>
    <x:row r="29">
      <x:c r="A29" s="86" t="str">
        <x:v>Valve</x:v>
      </x:c>
      <x:c r="B29" s="87" t="str">
        <x:v>À remplacer</x:v>
      </x:c>
      <x:c r="C29" s="87" t="str">
        <x:v>État source</x:v>
      </x:c>
      <x:c r="D29" s="87" t="n">
        <x:f>COUNTIF('Équipements'!$I$5:$I$12,B29)</x:f>
        <x:v>1</x:v>
      </x:c>
      <x:c r="E29" s="88" t="str">
        <x:v>Valeur de statut du PDF</x:v>
      </x:c>
    </x:row>
  </x:sheetData>
  <x:mergeCells>
    <x:mergeCell ref="A1:E1"/>
    <x:mergeCell ref="A2:E2"/>
    <x:mergeCell ref="A14:E14"/>
    <x:mergeCell ref="A25:E25"/>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05" hidden="0" customWidth="1"/>
  </x:cols>
  <x:sheetData>
    <x:row r="1" ht="30" customHeight="1">
      <x:c r="A1" s="4" t="str">
        <x:v>Sources et notes d'audit</x:v>
      </x:c>
      <x:c r="B1" s="4"/>
    </x:row>
    <x:row r="2" ht="28" customHeight="1">
      <x:c r="A2" s="8" t="str">
        <x:v>Traçabilité minimale de l'extraction et limites d'interprétation.</x:v>
      </x:c>
      <x:c r="B2" s="8"/>
    </x:row>
    <x:row r="4" ht="28" customHeight="1">
      <x:c r="A4" s="35" t="str">
        <x:v>Champ</x:v>
      </x:c>
      <x:c r="B4" s="37" t="str">
        <x:v>Valeur</x:v>
      </x:c>
    </x:row>
    <x:row r="5" ht="34" customHeight="1">
      <x:c r="A5" s="93" t="str">
        <x:v>Fichier source</x:v>
      </x:c>
      <x:c r="B5" s="95" t="str">
        <x:v>/Users/erwannrousseau/Downloads/Test_Valves_Bateau.pdf</x:v>
      </x:c>
    </x:row>
    <x:row r="6" ht="34" customHeight="1">
      <x:c r="A6" s="96" t="str">
        <x:v>Pages</x:v>
      </x:c>
      <x:c r="B6" s="98" t="n">
        <x:v>3</x:v>
      </x:c>
    </x:row>
    <x:row r="7" ht="34" customHeight="1">
      <x:c r="A7" s="96" t="str">
        <x:v>Titre</x:v>
      </x:c>
      <x:c r="B7" s="98" t="str">
        <x:v>Rapport de test - Inventaire de vannes de bateau</x:v>
      </x:c>
    </x:row>
    <x:row r="8" ht="34" customHeight="1">
      <x:c r="A8" s="96" t="str">
        <x:v>Nature</x:v>
      </x:c>
      <x:c r="B8" s="98" t="str">
        <x:v>Document fictif généré pour des tests de parsing PDF; données inventées.</x:v>
      </x:c>
    </x:row>
    <x:row r="9" ht="34" customHeight="1">
      <x:c r="A9" s="96" t="str">
        <x:v>Tableau principal</x:v>
      </x:c>
      <x:c r="B9" s="98" t="str">
        <x:v>Page 1: 8 vannes, colonnes ID, Système, Type, DN, PN, Matériau, Position, État.</x:v>
      </x:c>
    </x:row>
    <x:row r="10" ht="34" customHeight="1">
      <x:c r="A10" s="96" t="str">
        <x:v>Observations</x:v>
      </x:c>
      <x:c r="B10" s="98" t="str">
        <x:v>Sections 1 à 5: texte générique répété, porté par toutes les vannes.</x:v>
      </x:c>
    </x:row>
    <x:row r="11" ht="34" customHeight="1">
      <x:c r="A11" s="96" t="str">
        <x:v>Instruments distincts</x:v>
      </x:c>
      <x:c r="B11" s="98" t="str">
        <x:v>Aucun instrument autre qu'une valve n'est listé dans le PDF.</x:v>
      </x:c>
    </x:row>
    <x:row r="12" ht="34" customHeight="1">
      <x:c r="A12" s="99" t="str">
        <x:v>Extension</x:v>
      </x:c>
      <x:c r="B12" s="101" t="str">
        <x:v>La colonne Catégorie permet d'ajouter d'autres équipements sans changer le modèle.</x:v>
      </x:c>
    </x:row>
  </x:sheetData>
  <x:mergeCells>
    <x:mergeCell ref="A1:B1"/>
    <x:mergeCell ref="A2:B2"/>
  </x:mergeCells>
  <x:pageMargins left="0.7" right="0.7" top="0.75" bottom="0.75" header="0.3" footer="0.3"/>
</x:worksheet>
</file>